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/>
  </bookViews>
  <sheets>
    <sheet name="4_Client_Dashboard" sheetId="4" r:id="rId1"/>
  </sheets>
  <calcPr calcId="144525"/>
</workbook>
</file>

<file path=xl/sharedStrings.xml><?xml version="1.0" encoding="utf-8"?>
<sst xmlns="http://schemas.openxmlformats.org/spreadsheetml/2006/main" count="283">
  <si>
    <t>INTELLVENTORY — CLIENT WAREHOUSE DASHBOARD INPUT TEMPLATE</t>
  </si>
  <si>
    <t>📋 Enter your warehouse data below | System will auto-calculate KPIs, benchmarks, and match you with nearby demand | 🔒 Data is private — only aggregated benchmarks are shared</t>
  </si>
  <si>
    <t xml:space="preserve">  📦  SECTION 1 — WAREHOUSE PROFILE (Input your details — blue cells are editable)</t>
  </si>
  <si>
    <t>Field</t>
  </si>
  <si>
    <t>Your Value
(CLIENT INPUT)</t>
  </si>
  <si>
    <t>Unit</t>
  </si>
  <si>
    <t>Benchmark
(Oman Market)</t>
  </si>
  <si>
    <t>Benchmark
(GCC Avg)</t>
  </si>
  <si>
    <t>Your Status</t>
  </si>
  <si>
    <t>Target KPI</t>
  </si>
  <si>
    <t>Gap / Action</t>
  </si>
  <si>
    <t>Source</t>
  </si>
  <si>
    <t>Warehouse Name / ID</t>
  </si>
  <si>
    <t>[Enter Name]</t>
  </si>
  <si>
    <t>Text</t>
  </si>
  <si>
    <t>—</t>
  </si>
  <si>
    <t>Client input</t>
  </si>
  <si>
    <t>Location / Emirate / City</t>
  </si>
  <si>
    <t>[Enter City]</t>
  </si>
  <si>
    <t>Muscat / Salalah / Duqm</t>
  </si>
  <si>
    <t>All GCC cities</t>
  </si>
  <si>
    <t>Phase 1: Muscat priority</t>
  </si>
  <si>
    <t>Nexdigm 2025</t>
  </si>
  <si>
    <t>Total Gross Area (sqm)</t>
  </si>
  <si>
    <t>[Enter Area]</t>
  </si>
  <si>
    <t>sqm</t>
  </si>
  <si>
    <t>2,000–15,000</t>
  </si>
  <si>
    <t>5,000–50,000</t>
  </si>
  <si>
    <t>Input needed</t>
  </si>
  <si>
    <t>&gt;3,000 sqm</t>
  </si>
  <si>
    <t>Compare vs. demand hotspot</t>
  </si>
  <si>
    <t>Internal / CBRE proxy</t>
  </si>
  <si>
    <t>Total Available (Empty) Space %</t>
  </si>
  <si>
    <t>[Enter %]</t>
  </si>
  <si>
    <t>%</t>
  </si>
  <si>
    <t>30–45%</t>
  </si>
  <si>
    <t>20–35%</t>
  </si>
  <si>
    <t>⚠️ Auto-flag if &gt;50%</t>
  </si>
  <si>
    <t>&lt;30% vacancy</t>
  </si>
  <si>
    <t>If &gt;30% → list on platform</t>
  </si>
  <si>
    <t>Mordor 2026 / Internal</t>
  </si>
  <si>
    <t>Current Occupancy Rate (%)</t>
  </si>
  <si>
    <t>55–70%</t>
  </si>
  <si>
    <t>65–80%</t>
  </si>
  <si>
    <t>🔴 Red if &lt;50%</t>
  </si>
  <si>
    <t>&gt;70% occupancy</t>
  </si>
  <si>
    <t>Platform listing auto-triggered</t>
  </si>
  <si>
    <t>GCC WH benchmarks</t>
  </si>
  <si>
    <t>Storage Type</t>
  </si>
  <si>
    <t>[Dry/Cold/Mixed/Hazmat/FZ]</t>
  </si>
  <si>
    <t>Category</t>
  </si>
  <si>
    <t>Mixed (Cold growing)</t>
  </si>
  <si>
    <t>Mixed</t>
  </si>
  <si>
    <t>Add Cold-certified</t>
  </si>
  <si>
    <t>Upgrade = +35% pricing premium</t>
  </si>
  <si>
    <t>Mordor / Ken Research</t>
  </si>
  <si>
    <t>Temperature Range (if Cold)</t>
  </si>
  <si>
    <t>[e.g. 2–8°C / -18°C]</t>
  </si>
  <si>
    <t>°C</t>
  </si>
  <si>
    <t>2–8°C (pharma) dominant</t>
  </si>
  <si>
    <t>-18°C + 2-8°C</t>
  </si>
  <si>
    <t>GDP cert req'd</t>
  </si>
  <si>
    <t>GDP/GMP cert</t>
  </si>
  <si>
    <t>Add cert → +25% premium</t>
  </si>
  <si>
    <t>Mordor Intelligence 2026</t>
  </si>
  <si>
    <t>Racking System</t>
  </si>
  <si>
    <t>[Selective/Drive-in/None]</t>
  </si>
  <si>
    <t>Type</t>
  </si>
  <si>
    <t>Selective racking</t>
  </si>
  <si>
    <t>Selective/Mezzanine</t>
  </si>
  <si>
    <t>Drives +20% density efficiency</t>
  </si>
  <si>
    <t>Industry standard</t>
  </si>
  <si>
    <t>Number of Loading Bays</t>
  </si>
  <si>
    <t>[Enter Number]</t>
  </si>
  <si>
    <t>Units</t>
  </si>
  <si>
    <t>2–6</t>
  </si>
  <si>
    <t>4–12</t>
  </si>
  <si>
    <t>≥4 bays for SME</t>
  </si>
  <si>
    <t>Industry benchmark</t>
  </si>
  <si>
    <t>Crane / Heavy Equipment?</t>
  </si>
  <si>
    <t>[Yes/No]</t>
  </si>
  <si>
    <t>Y/N</t>
  </si>
  <si>
    <t>~30% have cranes</t>
  </si>
  <si>
    <t>~40%</t>
  </si>
  <si>
    <t>Unlocks industrial demand</t>
  </si>
  <si>
    <t>Add if serving O&amp;G/construction</t>
  </si>
  <si>
    <t>Demand Driver if Yes</t>
  </si>
  <si>
    <t>Internal analysis</t>
  </si>
  <si>
    <t>Security System</t>
  </si>
  <si>
    <t>[CCTV/Guarded/None]</t>
  </si>
  <si>
    <t>CCTV mandatory</t>
  </si>
  <si>
    <t>CCTV + Guard</t>
  </si>
  <si>
    <t>KYC required on platform</t>
  </si>
  <si>
    <t>CCTV minimum</t>
  </si>
  <si>
    <t>Required for platform listing</t>
  </si>
  <si>
    <t>Intellventory standards</t>
  </si>
  <si>
    <t>Fire Suppression</t>
  </si>
  <si>
    <t>[Sprinkler/None/Halon]</t>
  </si>
  <si>
    <t>Sprinkler std</t>
  </si>
  <si>
    <t>Sprinkler + Halon for cold</t>
  </si>
  <si>
    <t>Compliance check</t>
  </si>
  <si>
    <t>Sprinkler min</t>
  </si>
  <si>
    <t>Certification required</t>
  </si>
  <si>
    <t>Insurance / safety standard</t>
  </si>
  <si>
    <t>GDP / GMP Certified?</t>
  </si>
  <si>
    <t>~20% certified</t>
  </si>
  <si>
    <t>~35%</t>
  </si>
  <si>
    <t>⭐ Premium if Yes</t>
  </si>
  <si>
    <t>Obtain GDP cert</t>
  </si>
  <si>
    <t>Cert → non-discretionary demand</t>
  </si>
  <si>
    <t>Mordor 2026</t>
  </si>
  <si>
    <t>HACCP Certified?</t>
  </si>
  <si>
    <t>~15% in F&amp;B</t>
  </si>
  <si>
    <t>~25%</t>
  </si>
  <si>
    <t>⭐ F&amp;B premium if Yes</t>
  </si>
  <si>
    <t>Obtain HACCP</t>
  </si>
  <si>
    <t>Access pharma + F&amp;B demand</t>
  </si>
  <si>
    <t>GCCA 2025</t>
  </si>
  <si>
    <t>Years of Operation</t>
  </si>
  <si>
    <t>[Enter Years]</t>
  </si>
  <si>
    <t>Years</t>
  </si>
  <si>
    <t>1–15 avg</t>
  </si>
  <si>
    <t>3–20 avg</t>
  </si>
  <si>
    <t>≥2 years for trust score</t>
  </si>
  <si>
    <t>New WH → extra verification</t>
  </si>
  <si>
    <t>Platform trust model</t>
  </si>
  <si>
    <t>Distance to Nearest Port (km)</t>
  </si>
  <si>
    <t>[Enter km]</t>
  </si>
  <si>
    <t>km</t>
  </si>
  <si>
    <t>Sohar: &lt;50km; Salalah: &lt;20km</t>
  </si>
  <si>
    <t>Jebel Ali &lt;15km</t>
  </si>
  <si>
    <t>Premium if &lt;30km</t>
  </si>
  <si>
    <t>&lt;30km for port premium</t>
  </si>
  <si>
    <t>Port proximity +20% pricing</t>
  </si>
  <si>
    <t>Mordor / UNCTAD 2026</t>
  </si>
  <si>
    <t>Distance to City Center (km)</t>
  </si>
  <si>
    <t>&lt;25km Muscat</t>
  </si>
  <si>
    <t>&lt;20km</t>
  </si>
  <si>
    <t>Last-mile premium if &lt;15km</t>
  </si>
  <si>
    <t>&lt;15km for last-mile premium</t>
  </si>
  <si>
    <t>Urban proximity drives eComm demand</t>
  </si>
  <si>
    <t>Ken Research 2026</t>
  </si>
  <si>
    <t>Monthly Asking Rate (per pallet)</t>
  </si>
  <si>
    <t>[Enter Rate]</t>
  </si>
  <si>
    <t>OMR/USD</t>
  </si>
  <si>
    <t>2.10 OMR/pallet/mo</t>
  </si>
  <si>
    <t>35-55 AED</t>
  </si>
  <si>
    <t>Auto-compare vs market</t>
  </si>
  <si>
    <t>Within ±15% of benchmark</t>
  </si>
  <si>
    <t>Auto-price suggest via platform</t>
  </si>
  <si>
    <t>Sandan / E-Stock 2026</t>
  </si>
  <si>
    <t>Preferred Lease Duration</t>
  </si>
  <si>
    <t>[Daily/Weekly/Monthly/Annual]</t>
  </si>
  <si>
    <t>Monthly dominant</t>
  </si>
  <si>
    <t>Monthly + Annual</t>
  </si>
  <si>
    <t>Offer multiple durations</t>
  </si>
  <si>
    <t>Flexible = +booking rate</t>
  </si>
  <si>
    <t>Platform analysis</t>
  </si>
  <si>
    <t>Minimum Booking Size</t>
  </si>
  <si>
    <t>[Pallets / sqm]</t>
  </si>
  <si>
    <t>Pallets</t>
  </si>
  <si>
    <t>5–20 pallets min</t>
  </si>
  <si>
    <t>10–50</t>
  </si>
  <si>
    <t>Accept ≥5 pallets for SME</t>
  </si>
  <si>
    <t>Lower min = higher demand</t>
  </si>
  <si>
    <t>Platform SME analysis</t>
  </si>
  <si>
    <t xml:space="preserve">  📊  SECTION 2 — AUTO-CALCULATED KPIs &amp; BENCHMARKS (Platform computes these from your inputs)</t>
  </si>
  <si>
    <t>KPI Name</t>
  </si>
  <si>
    <t>Formula / Logic</t>
  </si>
  <si>
    <t>Your Estimated Value
(from inputs)</t>
  </si>
  <si>
    <t>Market Benchmark</t>
  </si>
  <si>
    <t>Performance Signal</t>
  </si>
  <si>
    <t>Recommended Action</t>
  </si>
  <si>
    <t>Vacancy Rate (%)</t>
  </si>
  <si>
    <t>[Auto from Row 4]</t>
  </si>
  <si>
    <t>30–45% Oman market avg</t>
  </si>
  <si>
    <t>🔴 &gt;50% = urgent list needed</t>
  </si>
  <si>
    <t>List immediately on platform</t>
  </si>
  <si>
    <t>Revenue Utilization Score</t>
  </si>
  <si>
    <t>[Calc from inputs]</t>
  </si>
  <si>
    <t>Benchmark: $5–10/pallet/day</t>
  </si>
  <si>
    <t>Compare vs. cold vs. dry peers</t>
  </si>
  <si>
    <t>Adjust price if &gt;15% below benchmark</t>
  </si>
  <si>
    <t>Potential Monthly Revenue</t>
  </si>
  <si>
    <t>Dry: $546/pallet/yr avg Oman</t>
  </si>
  <si>
    <t>Gap = lost revenue from vacancy</t>
  </si>
  <si>
    <t>Platform fills your empty slots</t>
  </si>
  <si>
    <t>Revenue Lost to Vacancy</t>
  </si>
  <si>
    <t>Avg WH: 30% vacancy = ~$20K/yr lost</t>
  </si>
  <si>
    <t>⚠️ Quantifies listing urgency</t>
  </si>
  <si>
    <t>Turn vacancy → revenue in 7 days</t>
  </si>
  <si>
    <t>Price Position vs. Market</t>
  </si>
  <si>
    <t>Within ±15% = competitive</t>
  </si>
  <si>
    <t>Above = lower bookings risk</t>
  </si>
  <si>
    <t>Platform suggests dynamic price</t>
  </si>
  <si>
    <t>Cold Storage Premium Captured</t>
  </si>
  <si>
    <t>+35–45% premium expected</t>
  </si>
  <si>
    <t>Underpriced if &lt;35% above dry</t>
  </si>
  <si>
    <t>Re-price or add certifications</t>
  </si>
  <si>
    <t>Port Proximity Score</t>
  </si>
  <si>
    <t>Max score = 10 (at port gate)</t>
  </si>
  <si>
    <t>Score drives search ranking</t>
  </si>
  <si>
    <t>Highlight in listing if score &gt;6</t>
  </si>
  <si>
    <t>Demand Match Score</t>
  </si>
  <si>
    <t>[Platform calculates]</t>
  </si>
  <si>
    <t>0–100 scale</t>
  </si>
  <si>
    <t>&gt;70 = high demand probability</t>
  </si>
  <si>
    <t>Improve certs + adjust min booking size</t>
  </si>
  <si>
    <t>Network Density Score</t>
  </si>
  <si>
    <t>[Platform data]</t>
  </si>
  <si>
    <t>&gt;5 same-type WH = liquid market</t>
  </si>
  <si>
    <t>Low density = early mover advantage</t>
  </si>
  <si>
    <t>Oman Phase 1: first-mover premium</t>
  </si>
  <si>
    <t>Platform Readiness Score</t>
  </si>
  <si>
    <t>Score &gt;80 = top placement</t>
  </si>
  <si>
    <t>Low score = less visibility</t>
  </si>
  <si>
    <t>Complete profile = 3× more bookings</t>
  </si>
  <si>
    <t>Seasonal Demand Forecast</t>
  </si>
  <si>
    <t>[Platform algo]</t>
  </si>
  <si>
    <t>Ramadan: +20–35% F&amp;B demand</t>
  </si>
  <si>
    <t>Flag: pre-Ramadan stock windows</t>
  </si>
  <si>
    <t>Dynamic price uplift auto-applied</t>
  </si>
  <si>
    <t>Estimated Competing WH (radius)</t>
  </si>
  <si>
    <t>Oman Phase 1: very low density</t>
  </si>
  <si>
    <t>Low competition = higher pricing power</t>
  </si>
  <si>
    <t>Use market position data for negotiation</t>
  </si>
  <si>
    <t xml:space="preserve">  🎯  SECTION 3 — DEMAND MATCH PANEL (Platform Shows These to Your Client / Renter)</t>
  </si>
  <si>
    <t>Demand Category</t>
  </si>
  <si>
    <t>Probability Match
(% for your WH)</t>
  </si>
  <si>
    <t>Likely Renter Profile</t>
  </si>
  <si>
    <t>Avg. Booking Duration</t>
  </si>
  <si>
    <t>Revenue Potential
(USD/month)</t>
  </si>
  <si>
    <t>Platform Trigger</t>
  </si>
  <si>
    <t>Season / Timing</t>
  </si>
  <si>
    <t>Pharmaceutical / GDP Cold</t>
  </si>
  <si>
    <t>[95% if Cold + GDP cert]</t>
  </si>
  <si>
    <t>Pharma importer / distributor</t>
  </si>
  <si>
    <t>6–12 months</t>
  </si>
  <si>
    <t>$800–$2,500</t>
  </si>
  <si>
    <t>GDP filter → auto-matched</t>
  </si>
  <si>
    <t>Year-round (non-seasonal)</t>
  </si>
  <si>
    <t>Food &amp; Beverage (Cold Chain)</t>
  </si>
  <si>
    <t>[80% if Cold ≥ -5°C]</t>
  </si>
  <si>
    <t>FMCG importer, F&amp;B distributor</t>
  </si>
  <si>
    <t>1–3 months</t>
  </si>
  <si>
    <t>$400–$1,200</t>
  </si>
  <si>
    <t>Cold type + HACCP cert</t>
  </si>
  <si>
    <t>Ramadan peak: Jan–Mar</t>
  </si>
  <si>
    <t>eCommerce Fulfillment</t>
  </si>
  <si>
    <t>[70% if City Center &lt;15km]</t>
  </si>
  <si>
    <t>D2C brand, Amazon/Noon seller</t>
  </si>
  <si>
    <t>Weekly – Monthly</t>
  </si>
  <si>
    <t>$200–$800</t>
  </si>
  <si>
    <t>Urban location + flexible duration</t>
  </si>
  <si>
    <t>Pre-Eid, back-to-school</t>
  </si>
  <si>
    <t>Construction Materials</t>
  </si>
  <si>
    <t>[60% if Outdoor Yard/Crane]</t>
  </si>
  <si>
    <t>Developer / contractor</t>
  </si>
  <si>
    <t>3–6 months</t>
  </si>
  <si>
    <t>$300–$600</t>
  </si>
  <si>
    <t>Yard storage + crane filter</t>
  </si>
  <si>
    <t>Q1–Q2 project seasons</t>
  </si>
  <si>
    <t>O&amp;G Equipment</t>
  </si>
  <si>
    <t>[50% if Hazmat + Crane]</t>
  </si>
  <si>
    <t>Oilfield services company</t>
  </si>
  <si>
    <t>6–24 months</t>
  </si>
  <si>
    <t>$1,000–$5,000</t>
  </si>
  <si>
    <t>Hazmat cert + industrial zone</t>
  </si>
  <si>
    <t>Year-round / project-based</t>
  </si>
  <si>
    <t>SME / General Goods</t>
  </si>
  <si>
    <t>[85% if Dry General WH]</t>
  </si>
  <si>
    <t>SME importer, retailer, trader</t>
  </si>
  <si>
    <t>Monthly</t>
  </si>
  <si>
    <t>$150–$500</t>
  </si>
  <si>
    <t>Available space &gt; 50 pallets</t>
  </si>
  <si>
    <t>Year-round</t>
  </si>
  <si>
    <t>Free Zone / Re-export</t>
  </si>
  <si>
    <t>[90% if FZ-licensed]</t>
  </si>
  <si>
    <t>Re-exporter / international trader</t>
  </si>
  <si>
    <t>3–12 months</t>
  </si>
  <si>
    <t>$500–$2,000</t>
  </si>
  <si>
    <t>FZ license + bonded capability</t>
  </si>
  <si>
    <t>📘 DASHBOARD LEGEND:
🔵 BLUE cells = Your Input (editable) | 🟢 GREEN cells = Auto-calculated by platform | 🟡 YELLOW cells = Market benchmarks (from Mordor Intelligence, Grand View Research, Ken Research, Nexdigm)
🔴 Red signal = Urgent action needed | ⚠️ Amber = Monitor | ✅ Green = Performing well
🎯 Demand Match % = Platform algorithm output based on your profile vs. current demand pool in your region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</si>
</sst>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32">
    <font>
      <sz val="11"/>
      <color theme="1"/>
      <name val="宋体"/>
      <charset val="134"/>
      <scheme val="minor"/>
    </font>
    <font>
      <b/>
      <sz val="16"/>
      <color rgb="FFFFFFFF"/>
      <name val="Calibri"/>
      <charset val="134"/>
    </font>
    <font>
      <i/>
      <sz val="9"/>
      <color rgb="FFAED6F1"/>
      <name val="Calibri"/>
      <charset val="134"/>
    </font>
    <font>
      <b/>
      <sz val="13"/>
      <color rgb="FFFFFFFF"/>
      <name val="Calibri"/>
      <charset val="134"/>
    </font>
    <font>
      <b/>
      <sz val="11"/>
      <color rgb="FFFFFFFF"/>
      <name val="Calibri"/>
      <charset val="134"/>
    </font>
    <font>
      <b/>
      <sz val="10"/>
      <color rgb="FF1F3864"/>
      <name val="Calibri"/>
      <charset val="134"/>
    </font>
    <font>
      <i/>
      <sz val="10"/>
      <color rgb="FF1A5276"/>
      <name val="Calibri"/>
      <charset val="134"/>
    </font>
    <font>
      <sz val="10"/>
      <color rgb="FF000000"/>
      <name val="Calibri"/>
      <charset val="134"/>
    </font>
    <font>
      <b/>
      <sz val="10"/>
      <color rgb="FF0E6655"/>
      <name val="Calibri"/>
      <charset val="134"/>
    </font>
    <font>
      <b/>
      <sz val="10"/>
      <color rgb="FF117A65"/>
      <name val="Calibri"/>
      <charset val="134"/>
    </font>
    <font>
      <sz val="9"/>
      <color rgb="FF1A5276"/>
      <name val="Calibri"/>
      <charset val="134"/>
    </font>
    <font>
      <sz val="9"/>
      <color rgb="FF1E8449"/>
      <name val="Calibri"/>
      <charset val="134"/>
    </font>
    <font>
      <b/>
      <sz val="10"/>
      <color rgb="FF1E8449"/>
      <name val="Calibri"/>
      <charset val="134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54360"/>
        <bgColor indexed="64"/>
      </patternFill>
    </fill>
    <fill>
      <patternFill patternType="solid">
        <fgColor rgb="FF1F618D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2980B9"/>
      </left>
      <right style="medium">
        <color rgb="FF2980B9"/>
      </right>
      <top style="medium">
        <color rgb="FF2980B9"/>
      </top>
      <bottom style="medium">
        <color rgb="FF2980B9"/>
      </bottom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/>
    <xf numFmtId="0" fontId="17" fillId="41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5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/>
    </xf>
    <xf numFmtId="0" fontId="4" fillId="9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N55"/>
  <sheetViews>
    <sheetView showGridLines="0" tabSelected="1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.64285714285714" defaultRowHeight="13.1"/>
  <cols>
    <col min="1" max="1" width="3" customWidth="1"/>
    <col min="2" max="2" width="28" customWidth="1"/>
    <col min="3" max="3" width="18" customWidth="1"/>
    <col min="4" max="6" width="16" customWidth="1"/>
    <col min="7" max="7" width="18" customWidth="1"/>
    <col min="8" max="10" width="20" customWidth="1"/>
    <col min="11" max="12" width="18" customWidth="1"/>
    <col min="13" max="14" width="20" customWidth="1"/>
  </cols>
  <sheetData>
    <row r="1" ht="44" customHeight="1" spans="2:2">
      <c r="B1" s="1" t="s">
        <v>0</v>
      </c>
    </row>
    <row r="2" ht="20" customHeight="1" spans="2:2">
      <c r="B2" s="2" t="s">
        <v>1</v>
      </c>
    </row>
    <row r="4" ht="28" customHeight="1" spans="2:2">
      <c r="B4" s="3" t="s">
        <v>2</v>
      </c>
    </row>
    <row r="5" ht="22" customHeight="1" spans="2:10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ht="30" customHeight="1" spans="2:10">
      <c r="B6" s="5" t="s">
        <v>12</v>
      </c>
      <c r="C6" s="6" t="s">
        <v>13</v>
      </c>
      <c r="D6" s="7" t="s">
        <v>14</v>
      </c>
      <c r="E6" s="19" t="s">
        <v>15</v>
      </c>
      <c r="F6" s="19" t="s">
        <v>15</v>
      </c>
      <c r="G6" s="20" t="s">
        <v>15</v>
      </c>
      <c r="H6" s="21" t="s">
        <v>15</v>
      </c>
      <c r="I6" s="12" t="s">
        <v>15</v>
      </c>
      <c r="J6" s="25" t="s">
        <v>16</v>
      </c>
    </row>
    <row r="7" ht="30" customHeight="1" spans="2:10">
      <c r="B7" s="8" t="s">
        <v>17</v>
      </c>
      <c r="C7" s="6" t="s">
        <v>18</v>
      </c>
      <c r="D7" s="9" t="s">
        <v>14</v>
      </c>
      <c r="E7" s="19" t="s">
        <v>19</v>
      </c>
      <c r="F7" s="19" t="s">
        <v>20</v>
      </c>
      <c r="G7" s="20" t="s">
        <v>15</v>
      </c>
      <c r="H7" s="21" t="s">
        <v>21</v>
      </c>
      <c r="I7" s="14" t="s">
        <v>15</v>
      </c>
      <c r="J7" s="26" t="s">
        <v>22</v>
      </c>
    </row>
    <row r="8" ht="30" customHeight="1" spans="2:10">
      <c r="B8" s="5" t="s">
        <v>23</v>
      </c>
      <c r="C8" s="6" t="s">
        <v>24</v>
      </c>
      <c r="D8" s="7" t="s">
        <v>25</v>
      </c>
      <c r="E8" s="19" t="s">
        <v>26</v>
      </c>
      <c r="F8" s="19" t="s">
        <v>27</v>
      </c>
      <c r="G8" s="20" t="s">
        <v>28</v>
      </c>
      <c r="H8" s="21" t="s">
        <v>29</v>
      </c>
      <c r="I8" s="12" t="s">
        <v>30</v>
      </c>
      <c r="J8" s="25" t="s">
        <v>31</v>
      </c>
    </row>
    <row r="9" ht="30" customHeight="1" spans="2:10">
      <c r="B9" s="8" t="s">
        <v>32</v>
      </c>
      <c r="C9" s="6" t="s">
        <v>33</v>
      </c>
      <c r="D9" s="9" t="s">
        <v>34</v>
      </c>
      <c r="E9" s="19" t="s">
        <v>35</v>
      </c>
      <c r="F9" s="19" t="s">
        <v>36</v>
      </c>
      <c r="G9" s="20" t="s">
        <v>37</v>
      </c>
      <c r="H9" s="21" t="s">
        <v>38</v>
      </c>
      <c r="I9" s="14" t="s">
        <v>39</v>
      </c>
      <c r="J9" s="26" t="s">
        <v>40</v>
      </c>
    </row>
    <row r="10" ht="30" customHeight="1" spans="2:10">
      <c r="B10" s="5" t="s">
        <v>41</v>
      </c>
      <c r="C10" s="6" t="s">
        <v>33</v>
      </c>
      <c r="D10" s="7" t="s">
        <v>34</v>
      </c>
      <c r="E10" s="19" t="s">
        <v>42</v>
      </c>
      <c r="F10" s="19" t="s">
        <v>43</v>
      </c>
      <c r="G10" s="20" t="s">
        <v>44</v>
      </c>
      <c r="H10" s="21" t="s">
        <v>45</v>
      </c>
      <c r="I10" s="12" t="s">
        <v>46</v>
      </c>
      <c r="J10" s="25" t="s">
        <v>47</v>
      </c>
    </row>
    <row r="11" ht="30" customHeight="1" spans="2:10">
      <c r="B11" s="8" t="s">
        <v>48</v>
      </c>
      <c r="C11" s="6" t="s">
        <v>49</v>
      </c>
      <c r="D11" s="9" t="s">
        <v>50</v>
      </c>
      <c r="E11" s="19" t="s">
        <v>51</v>
      </c>
      <c r="F11" s="19" t="s">
        <v>52</v>
      </c>
      <c r="G11" s="20" t="s">
        <v>15</v>
      </c>
      <c r="H11" s="21" t="s">
        <v>53</v>
      </c>
      <c r="I11" s="14" t="s">
        <v>54</v>
      </c>
      <c r="J11" s="26" t="s">
        <v>55</v>
      </c>
    </row>
    <row r="12" ht="30" customHeight="1" spans="2:10">
      <c r="B12" s="5" t="s">
        <v>56</v>
      </c>
      <c r="C12" s="6" t="s">
        <v>57</v>
      </c>
      <c r="D12" s="7" t="s">
        <v>58</v>
      </c>
      <c r="E12" s="19" t="s">
        <v>59</v>
      </c>
      <c r="F12" s="19" t="s">
        <v>60</v>
      </c>
      <c r="G12" s="20" t="s">
        <v>61</v>
      </c>
      <c r="H12" s="21" t="s">
        <v>62</v>
      </c>
      <c r="I12" s="12" t="s">
        <v>63</v>
      </c>
      <c r="J12" s="25" t="s">
        <v>64</v>
      </c>
    </row>
    <row r="13" ht="30" customHeight="1" spans="2:10">
      <c r="B13" s="8" t="s">
        <v>65</v>
      </c>
      <c r="C13" s="6" t="s">
        <v>66</v>
      </c>
      <c r="D13" s="9" t="s">
        <v>67</v>
      </c>
      <c r="E13" s="19" t="s">
        <v>68</v>
      </c>
      <c r="F13" s="19" t="s">
        <v>69</v>
      </c>
      <c r="G13" s="20" t="s">
        <v>15</v>
      </c>
      <c r="H13" s="21" t="s">
        <v>68</v>
      </c>
      <c r="I13" s="14" t="s">
        <v>70</v>
      </c>
      <c r="J13" s="26" t="s">
        <v>71</v>
      </c>
    </row>
    <row r="14" ht="30" customHeight="1" spans="2:10">
      <c r="B14" s="5" t="s">
        <v>72</v>
      </c>
      <c r="C14" s="6" t="s">
        <v>73</v>
      </c>
      <c r="D14" s="7" t="s">
        <v>74</v>
      </c>
      <c r="E14" s="19" t="s">
        <v>75</v>
      </c>
      <c r="F14" s="19" t="s">
        <v>76</v>
      </c>
      <c r="G14" s="20" t="s">
        <v>15</v>
      </c>
      <c r="H14" s="21" t="s">
        <v>77</v>
      </c>
      <c r="I14" s="12" t="s">
        <v>15</v>
      </c>
      <c r="J14" s="25" t="s">
        <v>78</v>
      </c>
    </row>
    <row r="15" ht="30" customHeight="1" spans="2:10">
      <c r="B15" s="8" t="s">
        <v>79</v>
      </c>
      <c r="C15" s="6" t="s">
        <v>80</v>
      </c>
      <c r="D15" s="9" t="s">
        <v>81</v>
      </c>
      <c r="E15" s="19" t="s">
        <v>82</v>
      </c>
      <c r="F15" s="19" t="s">
        <v>83</v>
      </c>
      <c r="G15" s="20" t="s">
        <v>84</v>
      </c>
      <c r="H15" s="21" t="s">
        <v>85</v>
      </c>
      <c r="I15" s="14" t="s">
        <v>86</v>
      </c>
      <c r="J15" s="26" t="s">
        <v>87</v>
      </c>
    </row>
    <row r="16" ht="30" customHeight="1" spans="2:10">
      <c r="B16" s="5" t="s">
        <v>88</v>
      </c>
      <c r="C16" s="6" t="s">
        <v>89</v>
      </c>
      <c r="D16" s="7" t="s">
        <v>67</v>
      </c>
      <c r="E16" s="19" t="s">
        <v>90</v>
      </c>
      <c r="F16" s="19" t="s">
        <v>91</v>
      </c>
      <c r="G16" s="20" t="s">
        <v>92</v>
      </c>
      <c r="H16" s="21" t="s">
        <v>93</v>
      </c>
      <c r="I16" s="12" t="s">
        <v>94</v>
      </c>
      <c r="J16" s="25" t="s">
        <v>95</v>
      </c>
    </row>
    <row r="17" ht="30" customHeight="1" spans="2:10">
      <c r="B17" s="8" t="s">
        <v>96</v>
      </c>
      <c r="C17" s="6" t="s">
        <v>97</v>
      </c>
      <c r="D17" s="9" t="s">
        <v>67</v>
      </c>
      <c r="E17" s="19" t="s">
        <v>98</v>
      </c>
      <c r="F17" s="19" t="s">
        <v>99</v>
      </c>
      <c r="G17" s="20" t="s">
        <v>100</v>
      </c>
      <c r="H17" s="21" t="s">
        <v>101</v>
      </c>
      <c r="I17" s="14" t="s">
        <v>102</v>
      </c>
      <c r="J17" s="26" t="s">
        <v>103</v>
      </c>
    </row>
    <row r="18" ht="30" customHeight="1" spans="2:10">
      <c r="B18" s="5" t="s">
        <v>104</v>
      </c>
      <c r="C18" s="6" t="s">
        <v>80</v>
      </c>
      <c r="D18" s="7" t="s">
        <v>81</v>
      </c>
      <c r="E18" s="19" t="s">
        <v>105</v>
      </c>
      <c r="F18" s="19" t="s">
        <v>106</v>
      </c>
      <c r="G18" s="20" t="s">
        <v>107</v>
      </c>
      <c r="H18" s="21" t="s">
        <v>108</v>
      </c>
      <c r="I18" s="12" t="s">
        <v>109</v>
      </c>
      <c r="J18" s="25" t="s">
        <v>110</v>
      </c>
    </row>
    <row r="19" ht="30" customHeight="1" spans="2:10">
      <c r="B19" s="8" t="s">
        <v>111</v>
      </c>
      <c r="C19" s="6" t="s">
        <v>80</v>
      </c>
      <c r="D19" s="9" t="s">
        <v>81</v>
      </c>
      <c r="E19" s="19" t="s">
        <v>112</v>
      </c>
      <c r="F19" s="19" t="s">
        <v>113</v>
      </c>
      <c r="G19" s="20" t="s">
        <v>114</v>
      </c>
      <c r="H19" s="21" t="s">
        <v>115</v>
      </c>
      <c r="I19" s="14" t="s">
        <v>116</v>
      </c>
      <c r="J19" s="26" t="s">
        <v>117</v>
      </c>
    </row>
    <row r="20" ht="30" customHeight="1" spans="2:10">
      <c r="B20" s="5" t="s">
        <v>118</v>
      </c>
      <c r="C20" s="6" t="s">
        <v>119</v>
      </c>
      <c r="D20" s="7" t="s">
        <v>120</v>
      </c>
      <c r="E20" s="19" t="s">
        <v>121</v>
      </c>
      <c r="F20" s="19" t="s">
        <v>122</v>
      </c>
      <c r="G20" s="20" t="s">
        <v>15</v>
      </c>
      <c r="H20" s="21" t="s">
        <v>123</v>
      </c>
      <c r="I20" s="12" t="s">
        <v>124</v>
      </c>
      <c r="J20" s="25" t="s">
        <v>125</v>
      </c>
    </row>
    <row r="21" ht="30" customHeight="1" spans="2:10">
      <c r="B21" s="8" t="s">
        <v>126</v>
      </c>
      <c r="C21" s="6" t="s">
        <v>127</v>
      </c>
      <c r="D21" s="9" t="s">
        <v>128</v>
      </c>
      <c r="E21" s="19" t="s">
        <v>129</v>
      </c>
      <c r="F21" s="19" t="s">
        <v>130</v>
      </c>
      <c r="G21" s="20" t="s">
        <v>131</v>
      </c>
      <c r="H21" s="21" t="s">
        <v>132</v>
      </c>
      <c r="I21" s="14" t="s">
        <v>133</v>
      </c>
      <c r="J21" s="26" t="s">
        <v>134</v>
      </c>
    </row>
    <row r="22" ht="30" customHeight="1" spans="2:10">
      <c r="B22" s="5" t="s">
        <v>135</v>
      </c>
      <c r="C22" s="6" t="s">
        <v>127</v>
      </c>
      <c r="D22" s="7" t="s">
        <v>128</v>
      </c>
      <c r="E22" s="19" t="s">
        <v>136</v>
      </c>
      <c r="F22" s="19" t="s">
        <v>137</v>
      </c>
      <c r="G22" s="20" t="s">
        <v>138</v>
      </c>
      <c r="H22" s="21" t="s">
        <v>139</v>
      </c>
      <c r="I22" s="12" t="s">
        <v>140</v>
      </c>
      <c r="J22" s="25" t="s">
        <v>141</v>
      </c>
    </row>
    <row r="23" ht="30" customHeight="1" spans="2:10">
      <c r="B23" s="8" t="s">
        <v>142</v>
      </c>
      <c r="C23" s="6" t="s">
        <v>143</v>
      </c>
      <c r="D23" s="9" t="s">
        <v>144</v>
      </c>
      <c r="E23" s="19" t="s">
        <v>145</v>
      </c>
      <c r="F23" s="19" t="s">
        <v>146</v>
      </c>
      <c r="G23" s="20" t="s">
        <v>147</v>
      </c>
      <c r="H23" s="21" t="s">
        <v>148</v>
      </c>
      <c r="I23" s="14" t="s">
        <v>149</v>
      </c>
      <c r="J23" s="26" t="s">
        <v>150</v>
      </c>
    </row>
    <row r="24" ht="30" customHeight="1" spans="2:10">
      <c r="B24" s="5" t="s">
        <v>151</v>
      </c>
      <c r="C24" s="6" t="s">
        <v>152</v>
      </c>
      <c r="D24" s="7" t="s">
        <v>67</v>
      </c>
      <c r="E24" s="19" t="s">
        <v>153</v>
      </c>
      <c r="F24" s="19" t="s">
        <v>154</v>
      </c>
      <c r="G24" s="20" t="s">
        <v>15</v>
      </c>
      <c r="H24" s="21" t="s">
        <v>155</v>
      </c>
      <c r="I24" s="12" t="s">
        <v>156</v>
      </c>
      <c r="J24" s="25" t="s">
        <v>157</v>
      </c>
    </row>
    <row r="25" ht="30" customHeight="1" spans="2:10">
      <c r="B25" s="8" t="s">
        <v>158</v>
      </c>
      <c r="C25" s="6" t="s">
        <v>159</v>
      </c>
      <c r="D25" s="9" t="s">
        <v>160</v>
      </c>
      <c r="E25" s="19" t="s">
        <v>161</v>
      </c>
      <c r="F25" s="19" t="s">
        <v>162</v>
      </c>
      <c r="G25" s="20" t="s">
        <v>15</v>
      </c>
      <c r="H25" s="21" t="s">
        <v>163</v>
      </c>
      <c r="I25" s="14" t="s">
        <v>164</v>
      </c>
      <c r="J25" s="26" t="s">
        <v>165</v>
      </c>
    </row>
    <row r="28" ht="28" customHeight="1" spans="2:2">
      <c r="B28" s="10" t="s">
        <v>166</v>
      </c>
    </row>
    <row r="29" ht="22" customHeight="1" spans="2:7">
      <c r="B29" s="11" t="s">
        <v>167</v>
      </c>
      <c r="C29" s="11" t="s">
        <v>168</v>
      </c>
      <c r="D29" s="11" t="s">
        <v>169</v>
      </c>
      <c r="E29" s="11" t="s">
        <v>170</v>
      </c>
      <c r="F29" s="11" t="s">
        <v>171</v>
      </c>
      <c r="G29" s="11" t="s">
        <v>172</v>
      </c>
    </row>
    <row r="30" ht="36" customHeight="1" spans="2:7">
      <c r="B30" s="5" t="s">
        <v>173</v>
      </c>
      <c r="C30" s="12"/>
      <c r="D30" s="13" t="s">
        <v>174</v>
      </c>
      <c r="E30" s="19" t="s">
        <v>175</v>
      </c>
      <c r="F30" s="12" t="s">
        <v>176</v>
      </c>
      <c r="G30" s="22" t="s">
        <v>177</v>
      </c>
    </row>
    <row r="31" ht="36" customHeight="1" spans="2:7">
      <c r="B31" s="8" t="s">
        <v>178</v>
      </c>
      <c r="C31" s="14" t="e">
        <f>Occupancy Rate × Avg. Asking Rate</f>
        <v>#NAME?</v>
      </c>
      <c r="D31" s="13" t="s">
        <v>179</v>
      </c>
      <c r="E31" s="19" t="s">
        <v>180</v>
      </c>
      <c r="F31" s="14" t="s">
        <v>181</v>
      </c>
      <c r="G31" s="22" t="s">
        <v>182</v>
      </c>
    </row>
    <row r="32" ht="36" customHeight="1" spans="2:7">
      <c r="B32" s="5" t="s">
        <v>183</v>
      </c>
      <c r="C32" s="12"/>
      <c r="D32" s="13" t="s">
        <v>179</v>
      </c>
      <c r="E32" s="19" t="s">
        <v>184</v>
      </c>
      <c r="F32" s="12" t="s">
        <v>185</v>
      </c>
      <c r="G32" s="22" t="s">
        <v>186</v>
      </c>
    </row>
    <row r="33" ht="36" customHeight="1" spans="2:7">
      <c r="B33" s="8" t="s">
        <v>187</v>
      </c>
      <c r="C33" s="14"/>
      <c r="D33" s="13" t="s">
        <v>179</v>
      </c>
      <c r="E33" s="19" t="s">
        <v>188</v>
      </c>
      <c r="F33" s="14" t="s">
        <v>189</v>
      </c>
      <c r="G33" s="22" t="s">
        <v>190</v>
      </c>
    </row>
    <row r="34" ht="36" customHeight="1" spans="2:7">
      <c r="B34" s="5" t="s">
        <v>191</v>
      </c>
      <c r="C34" s="12"/>
      <c r="D34" s="13" t="s">
        <v>179</v>
      </c>
      <c r="E34" s="19" t="s">
        <v>192</v>
      </c>
      <c r="F34" s="12" t="s">
        <v>193</v>
      </c>
      <c r="G34" s="22" t="s">
        <v>194</v>
      </c>
    </row>
    <row r="35" ht="36" customHeight="1" spans="2:7">
      <c r="B35" s="8" t="s">
        <v>195</v>
      </c>
      <c r="C35" s="14" t="e">
        <f ca="1">If Type=Cold:Rate ÷ Dry Benchmark</f>
        <v>#NAME?</v>
      </c>
      <c r="D35" s="13" t="s">
        <v>179</v>
      </c>
      <c r="E35" s="19" t="s">
        <v>196</v>
      </c>
      <c r="F35" s="14" t="s">
        <v>197</v>
      </c>
      <c r="G35" s="22" t="s">
        <v>198</v>
      </c>
    </row>
    <row r="36" ht="36" customHeight="1" spans="2:7">
      <c r="B36" s="5" t="s">
        <v>199</v>
      </c>
      <c r="C36" s="12"/>
      <c r="D36" s="13" t="s">
        <v>179</v>
      </c>
      <c r="E36" s="19" t="s">
        <v>200</v>
      </c>
      <c r="F36" s="12" t="s">
        <v>201</v>
      </c>
      <c r="G36" s="22" t="s">
        <v>202</v>
      </c>
    </row>
    <row r="37" ht="36" customHeight="1" spans="2:7">
      <c r="B37" s="8" t="s">
        <v>203</v>
      </c>
      <c r="C37" s="14" t="e">
        <f ca="1">Composite:Storage Type+Cert+Port+Size fit</f>
        <v>#NAME?</v>
      </c>
      <c r="D37" s="13" t="s">
        <v>204</v>
      </c>
      <c r="E37" s="19" t="s">
        <v>205</v>
      </c>
      <c r="F37" s="14" t="s">
        <v>206</v>
      </c>
      <c r="G37" s="22" t="s">
        <v>207</v>
      </c>
    </row>
    <row r="38" ht="36" customHeight="1" spans="2:7">
      <c r="B38" s="5" t="s">
        <v>208</v>
      </c>
      <c r="C38" s="12"/>
      <c r="D38" s="13" t="s">
        <v>209</v>
      </c>
      <c r="E38" s="19" t="s">
        <v>210</v>
      </c>
      <c r="F38" s="12" t="s">
        <v>211</v>
      </c>
      <c r="G38" s="22" t="s">
        <v>212</v>
      </c>
    </row>
    <row r="39" ht="36" customHeight="1" spans="2:7">
      <c r="B39" s="8" t="s">
        <v>213</v>
      </c>
      <c r="C39" s="14" t="e">
        <f ca="1">Composite:verified docs+photos+pricing+reviews</f>
        <v>#NAME?</v>
      </c>
      <c r="D39" s="13" t="s">
        <v>204</v>
      </c>
      <c r="E39" s="19" t="s">
        <v>214</v>
      </c>
      <c r="F39" s="14" t="s">
        <v>215</v>
      </c>
      <c r="G39" s="22" t="s">
        <v>216</v>
      </c>
    </row>
    <row r="40" ht="36" customHeight="1" spans="2:7">
      <c r="B40" s="5" t="s">
        <v>217</v>
      </c>
      <c r="C40" s="12" t="e">
        <f>Based on Storage Type × Ramadan/summer seasonal index</f>
        <v>#NAME?</v>
      </c>
      <c r="D40" s="13" t="s">
        <v>218</v>
      </c>
      <c r="E40" s="19" t="s">
        <v>219</v>
      </c>
      <c r="F40" s="12" t="s">
        <v>220</v>
      </c>
      <c r="G40" s="22" t="s">
        <v>221</v>
      </c>
    </row>
    <row r="41" ht="36" customHeight="1" spans="2:7">
      <c r="B41" s="8" t="s">
        <v>222</v>
      </c>
      <c r="C41" s="14"/>
      <c r="D41" s="13" t="s">
        <v>209</v>
      </c>
      <c r="E41" s="19" t="s">
        <v>223</v>
      </c>
      <c r="F41" s="14" t="s">
        <v>224</v>
      </c>
      <c r="G41" s="22" t="s">
        <v>225</v>
      </c>
    </row>
    <row r="44" ht="28" customHeight="1" spans="2:2">
      <c r="B44" s="15" t="s">
        <v>226</v>
      </c>
    </row>
    <row r="45" ht="25.6" spans="2:8">
      <c r="B45" s="16" t="s">
        <v>227</v>
      </c>
      <c r="C45" s="16" t="s">
        <v>228</v>
      </c>
      <c r="D45" s="16" t="s">
        <v>229</v>
      </c>
      <c r="E45" s="16" t="s">
        <v>230</v>
      </c>
      <c r="F45" s="16" t="s">
        <v>231</v>
      </c>
      <c r="G45" s="16" t="s">
        <v>232</v>
      </c>
      <c r="H45" s="16" t="s">
        <v>233</v>
      </c>
    </row>
    <row r="46" ht="32" customHeight="1" spans="2:8">
      <c r="B46" s="5" t="s">
        <v>234</v>
      </c>
      <c r="C46" s="17" t="s">
        <v>235</v>
      </c>
      <c r="D46" s="12" t="s">
        <v>236</v>
      </c>
      <c r="E46" s="23" t="s">
        <v>237</v>
      </c>
      <c r="F46" s="23" t="s">
        <v>238</v>
      </c>
      <c r="G46" s="23" t="s">
        <v>239</v>
      </c>
      <c r="H46" s="23" t="s">
        <v>240</v>
      </c>
    </row>
    <row r="47" ht="32" customHeight="1" spans="2:8">
      <c r="B47" s="8" t="s">
        <v>241</v>
      </c>
      <c r="C47" s="17" t="s">
        <v>242</v>
      </c>
      <c r="D47" s="14" t="s">
        <v>243</v>
      </c>
      <c r="E47" s="24" t="s">
        <v>244</v>
      </c>
      <c r="F47" s="24" t="s">
        <v>245</v>
      </c>
      <c r="G47" s="24" t="s">
        <v>246</v>
      </c>
      <c r="H47" s="24" t="s">
        <v>247</v>
      </c>
    </row>
    <row r="48" ht="32" customHeight="1" spans="2:8">
      <c r="B48" s="5" t="s">
        <v>248</v>
      </c>
      <c r="C48" s="17" t="s">
        <v>249</v>
      </c>
      <c r="D48" s="12" t="s">
        <v>250</v>
      </c>
      <c r="E48" s="23" t="s">
        <v>251</v>
      </c>
      <c r="F48" s="23" t="s">
        <v>252</v>
      </c>
      <c r="G48" s="23" t="s">
        <v>253</v>
      </c>
      <c r="H48" s="23" t="s">
        <v>254</v>
      </c>
    </row>
    <row r="49" ht="32" customHeight="1" spans="2:8">
      <c r="B49" s="8" t="s">
        <v>255</v>
      </c>
      <c r="C49" s="17" t="s">
        <v>256</v>
      </c>
      <c r="D49" s="14" t="s">
        <v>257</v>
      </c>
      <c r="E49" s="24" t="s">
        <v>258</v>
      </c>
      <c r="F49" s="24" t="s">
        <v>259</v>
      </c>
      <c r="G49" s="24" t="s">
        <v>260</v>
      </c>
      <c r="H49" s="24" t="s">
        <v>261</v>
      </c>
    </row>
    <row r="50" ht="32" customHeight="1" spans="2:8">
      <c r="B50" s="5" t="s">
        <v>262</v>
      </c>
      <c r="C50" s="17" t="s">
        <v>263</v>
      </c>
      <c r="D50" s="12" t="s">
        <v>264</v>
      </c>
      <c r="E50" s="23" t="s">
        <v>265</v>
      </c>
      <c r="F50" s="23" t="s">
        <v>266</v>
      </c>
      <c r="G50" s="23" t="s">
        <v>267</v>
      </c>
      <c r="H50" s="23" t="s">
        <v>268</v>
      </c>
    </row>
    <row r="51" ht="32" customHeight="1" spans="2:8">
      <c r="B51" s="8" t="s">
        <v>269</v>
      </c>
      <c r="C51" s="17" t="s">
        <v>270</v>
      </c>
      <c r="D51" s="14" t="s">
        <v>271</v>
      </c>
      <c r="E51" s="24" t="s">
        <v>272</v>
      </c>
      <c r="F51" s="24" t="s">
        <v>273</v>
      </c>
      <c r="G51" s="24" t="s">
        <v>274</v>
      </c>
      <c r="H51" s="24" t="s">
        <v>275</v>
      </c>
    </row>
    <row r="52" ht="32" customHeight="1" spans="2:8">
      <c r="B52" s="5" t="s">
        <v>276</v>
      </c>
      <c r="C52" s="17" t="s">
        <v>277</v>
      </c>
      <c r="D52" s="12" t="s">
        <v>278</v>
      </c>
      <c r="E52" s="23" t="s">
        <v>279</v>
      </c>
      <c r="F52" s="23" t="s">
        <v>280</v>
      </c>
      <c r="G52" s="23" t="s">
        <v>281</v>
      </c>
      <c r="H52" s="23" t="s">
        <v>275</v>
      </c>
    </row>
    <row r="55" ht="55" customHeight="1" spans="2:2">
      <c r="B55" s="18" t="s">
        <v>282</v>
      </c>
    </row>
  </sheetData>
  <mergeCells count="6">
    <mergeCell ref="B1:N1"/>
    <mergeCell ref="B2:N2"/>
    <mergeCell ref="B4:N4"/>
    <mergeCell ref="B28:N28"/>
    <mergeCell ref="B44:N44"/>
    <mergeCell ref="B55:N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4_Client_Dashboard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iPhone</cp:lastModifiedBy>
  <dcterms:created xsi:type="dcterms:W3CDTF">2026-04-14T15:41:54Z</dcterms:created>
  <dcterms:modified xsi:type="dcterms:W3CDTF">2026-04-14T19:15:41Z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54A0573ADA6CF3524463DE69314226A0_33</vt:lpwstr>
  </property>
  <property fmtid="{D5CDD505-2E9C-101B-9397-08002B2CF9AE}" pid="3" name="KSOProductBuildVer">
    <vt:lpwstr>1033-26.3.0</vt:lpwstr>
  </property>
</Properties>
</file>